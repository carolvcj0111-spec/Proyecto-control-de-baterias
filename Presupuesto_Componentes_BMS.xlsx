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ae182850ec4e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supuesto BMS" sheetId="1" r:id="Rabd95aa6cf034136"/>
    <x:sheet xmlns:r="http://schemas.openxmlformats.org/officeDocument/2006/relationships" name="Resumen" sheetId="2" r:id="R2e91869bbfcb44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 #,##0"/>
  </x:numFmts>
  <x:fonts count="7">
    <x:font>
      <x:sz val="11"/>
      <x:name val="Carlito"/>
    </x:font>
    <x:font>
      <x:b/>
      <x:sz val="16"/>
      <x:color rgb="FFFFFF"/>
      <x:name val="Carlito"/>
    </x:font>
    <x:font>
      <x:b/>
      <x:sz val="11"/>
      <x:color rgb="0B3D2E"/>
      <x:name val="Carlito"/>
    </x:font>
    <x:font>
      <x:b/>
      <x:sz val="11"/>
      <x:color rgb="FFFFFF"/>
      <x:name val="Carlito"/>
    </x:font>
    <x:font>
      <x:sz val="10"/>
      <x:name val="Carlito"/>
    </x:font>
    <x:font>
      <x:b/>
      <x:sz val="11"/>
      <x:name val="Carlito"/>
    </x:font>
    <x:font>
      <x:i/>
      <x:sz val="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B3D2E"/>
      </x:patternFill>
    </x:fill>
    <x:fill>
      <x:patternFill patternType="solid">
        <x:fgColor rgb="DCEFE6"/>
      </x:patternFill>
    </x:fill>
    <x:fill>
      <x:patternFill patternType="solid">
        <x:fgColor rgb="FFF2CC"/>
      </x:patternFill>
    </x:fill>
    <x:fill>
      <x:patternFill patternType="solid">
        <x:fgColor rgb="E2F0D9"/>
      </x:patternFill>
    </x:fill>
    <x:fill>
      <x:patternFill patternType="solid">
        <x:fgColor rgb="F2F2F2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200" fontId="4" fillId="0" borderId="0" xfId="0" applyNumberFormat="1" applyFont="1" applyFill="1" applyBorder="1"/>
    <x:xf numFmtId="200" fontId="0" fillId="0" borderId="0" xfId="0" applyNumberFormat="1" applyFont="1" applyFill="1" applyBorder="1"/>
    <x:xf numFmtId="200" fontId="5" fillId="4" borderId="0" xfId="0" applyNumberFormat="1" applyFont="1" applyFill="1" applyBorder="1"/>
    <x:xf numFmtId="200" fontId="5" fillId="5" borderId="0" xfId="0" applyNumberFormat="1" applyFont="1" applyFill="1" applyBorder="1"/>
    <x:xf numFmtId="200" fontId="4" fillId="0" borderId="1" xfId="0" applyNumberFormat="1" applyFont="1" applyFill="1" applyBorder="1"/>
    <x:xf numFmtId="200" fontId="0" fillId="0" borderId="1" xfId="0" applyNumberFormat="1" applyFont="1" applyFill="1" applyBorder="1"/>
    <x:xf numFmtId="200" fontId="5" fillId="4" borderId="1" xfId="0" applyNumberFormat="1" applyFont="1" applyFill="1" applyBorder="1"/>
    <x:xf numFmtId="200" fontId="5" fillId="5" borderId="1" xfId="0" applyNumberFormat="1" applyFont="1" applyFill="1" applyBorder="1"/>
    <x:xf numFmtId="200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db6e39271743c4" /><Relationship Type="http://schemas.openxmlformats.org/officeDocument/2006/relationships/theme" Target="/xl/theme/theme1.xml" Id="R418fb4d952e54bec" /><Relationship Type="http://schemas.openxmlformats.org/officeDocument/2006/relationships/sharedStrings" Target="/xl/sharedStrings.xml" Id="R4598637dbda440f7" /><Relationship Type="http://schemas.openxmlformats.org/officeDocument/2006/relationships/worksheet" Target="/xl/worksheets/sheet1.xml" Id="Rabd95aa6cf034136" /><Relationship Type="http://schemas.openxmlformats.org/officeDocument/2006/relationships/worksheet" Target="/xl/worksheets/sheet2.xml" Id="R2e91869bbfcb44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16" hidden="0" customWidth="1"/>
    <x:col min="3" max="3" width="12" hidden="0" customWidth="1"/>
    <x:col min="4" max="4" width="16" hidden="0" customWidth="1"/>
    <x:col min="5" max="5" width="24" hidden="0" customWidth="1"/>
  </x:cols>
  <x:sheetData>
    <x:row r="1">
      <x:c r="A1" s="4" t="str">
        <x:v>Presupuesto de componentes - Proyecto BMS</x:v>
      </x:c>
      <x:c r="B1" s="4"/>
      <x:c r="C1" s="4"/>
      <x:c r="D1" s="4"/>
      <x:c r="E1" s="4"/>
    </x:row>
    <x:row r="2">
      <x:c r="A2" s="10" t="str">
        <x:v>Componentes del carrito PDF + chasis y materiales para PCBs</x:v>
      </x:c>
      <x:c r="B2" s="10"/>
      <x:c r="C2" s="10"/>
      <x:c r="D2" s="10"/>
      <x:c r="E2" s="10"/>
    </x:row>
    <x:row r="4">
      <x:c r="A4" s="15" t="str">
        <x:v>Componente</x:v>
      </x:c>
      <x:c r="B4" s="15" t="str">
        <x:v>Precio unitario</x:v>
      </x:c>
      <x:c r="C4" s="15" t="str">
        <x:v>Cantidad</x:v>
      </x:c>
      <x:c r="D4" s="15" t="str">
        <x:v>Subtotal</x:v>
      </x:c>
      <x:c r="E4" s="15" t="str">
        <x:v>Observación</x:v>
      </x:c>
    </x:row>
    <x:row r="5">
      <x:c r="A5" s="18" t="str">
        <x:v>Regulador L7812 12V - 1.5A</x:v>
      </x:c>
      <x:c r="B5" s="34" t="n">
        <x:v>1500</x:v>
      </x:c>
      <x:c r="C5" s="18" t="n">
        <x:v>4</x:v>
      </x:c>
      <x:c r="D5" s="34" t="n">
        <x:f>B5*C5</x:f>
        <x:v>6000</x:v>
      </x:c>
      <x:c r="E5" s="18" t="str">
        <x:v>Carrito PDF</x:v>
      </x:c>
    </x:row>
    <x:row r="6">
      <x:c r="A6" s="18" t="str">
        <x:v>Relé 12V SRD-12VDC-SL-C</x:v>
      </x:c>
      <x:c r="B6" s="34" t="n">
        <x:v>3200</x:v>
      </x:c>
      <x:c r="C6" s="18" t="n">
        <x:v>4</x:v>
      </x:c>
      <x:c r="D6" s="34" t="n">
        <x:f>B6*C6</x:f>
        <x:v>12800</x:v>
      </x:c>
      <x:c r="E6" s="18" t="str">
        <x:v>Carrito PDF</x:v>
      </x:c>
    </x:row>
    <x:row r="7">
      <x:c r="A7" s="18" t="str">
        <x:v>Resistencias 100 Ω</x:v>
      </x:c>
      <x:c r="B7" s="34" t="n">
        <x:v>80</x:v>
      </x:c>
      <x:c r="C7" s="18" t="n">
        <x:v>5</x:v>
      </x:c>
      <x:c r="D7" s="34" t="n">
        <x:f>B7*C7</x:f>
        <x:v>400</x:v>
      </x:c>
      <x:c r="E7" s="18" t="str">
        <x:v>Carrito PDF</x:v>
      </x:c>
    </x:row>
    <x:row r="8">
      <x:c r="A8" s="18" t="str">
        <x:v>Resistencias 3.3 Ω</x:v>
      </x:c>
      <x:c r="B8" s="34" t="n">
        <x:v>80</x:v>
      </x:c>
      <x:c r="C8" s="18" t="n">
        <x:v>5</x:v>
      </x:c>
      <x:c r="D8" s="34" t="n">
        <x:f>B8*C8</x:f>
        <x:v>400</x:v>
      </x:c>
      <x:c r="E8" s="18" t="str">
        <x:v>Carrito PDF</x:v>
      </x:c>
    </x:row>
    <x:row r="9">
      <x:c r="A9" s="18" t="str">
        <x:v>Resistencias 0.1 Ω / 2W</x:v>
      </x:c>
      <x:c r="B9" s="34" t="n">
        <x:v>400</x:v>
      </x:c>
      <x:c r="C9" s="18" t="n">
        <x:v>5</x:v>
      </x:c>
      <x:c r="D9" s="34" t="n">
        <x:f>B9*C9</x:f>
        <x:v>2000</x:v>
      </x:c>
      <x:c r="E9" s="18" t="str">
        <x:v>Carrito PDF</x:v>
      </x:c>
    </x:row>
    <x:row r="10">
      <x:c r="A10" s="18" t="str">
        <x:v>Resistencias 1.5 kΩ</x:v>
      </x:c>
      <x:c r="B10" s="34" t="n">
        <x:v>80</x:v>
      </x:c>
      <x:c r="C10" s="18" t="n">
        <x:v>7</x:v>
      </x:c>
      <x:c r="D10" s="34" t="n">
        <x:f>B10*C10</x:f>
        <x:v>560</x:v>
      </x:c>
      <x:c r="E10" s="18" t="str">
        <x:v>Carrito PDF</x:v>
      </x:c>
    </x:row>
    <x:row r="11">
      <x:c r="A11" s="18" t="str">
        <x:v>Resistencias 20 kΩ</x:v>
      </x:c>
      <x:c r="B11" s="34" t="n">
        <x:v>80</x:v>
      </x:c>
      <x:c r="C11" s="18" t="n">
        <x:v>7</x:v>
      </x:c>
      <x:c r="D11" s="34" t="n">
        <x:f>B11*C11</x:f>
        <x:v>560</x:v>
      </x:c>
      <x:c r="E11" s="18" t="str">
        <x:v>Carrito PDF</x:v>
      </x:c>
    </x:row>
    <x:row r="12">
      <x:c r="A12" s="18" t="str">
        <x:v>Resistencias 10 kΩ</x:v>
      </x:c>
      <x:c r="B12" s="34" t="n">
        <x:v>80</x:v>
      </x:c>
      <x:c r="C12" s="18" t="n">
        <x:v>14</x:v>
      </x:c>
      <x:c r="D12" s="34" t="n">
        <x:f>B12*C12</x:f>
        <x:v>1120</x:v>
      </x:c>
      <x:c r="E12" s="18" t="str">
        <x:v>Carrito PDF</x:v>
      </x:c>
    </x:row>
    <x:row r="13">
      <x:c r="A13" s="18" t="str">
        <x:v>Resistencias 47 kΩ</x:v>
      </x:c>
      <x:c r="B13" s="34" t="n">
        <x:v>80</x:v>
      </x:c>
      <x:c r="C13" s="18" t="n">
        <x:v>7</x:v>
      </x:c>
      <x:c r="D13" s="34" t="n">
        <x:f>B13*C13</x:f>
        <x:v>560</x:v>
      </x:c>
      <x:c r="E13" s="18" t="str">
        <x:v>Carrito PDF</x:v>
      </x:c>
    </x:row>
    <x:row r="14">
      <x:c r="A14" s="18" t="str">
        <x:v>Resistencias 2.2 kΩ</x:v>
      </x:c>
      <x:c r="B14" s="34" t="n">
        <x:v>80</x:v>
      </x:c>
      <x:c r="C14" s="18" t="n">
        <x:v>7</x:v>
      </x:c>
      <x:c r="D14" s="34" t="n">
        <x:f>B14*C14</x:f>
        <x:v>560</x:v>
      </x:c>
      <x:c r="E14" s="18" t="str">
        <x:v>Carrito PDF</x:v>
      </x:c>
    </x:row>
    <x:row r="15">
      <x:c r="A15" s="18" t="str">
        <x:v>Resistencias 8.2 kΩ</x:v>
      </x:c>
      <x:c r="B15" s="34" t="n">
        <x:v>80</x:v>
      </x:c>
      <x:c r="C15" s="18" t="n">
        <x:v>7</x:v>
      </x:c>
      <x:c r="D15" s="34" t="n">
        <x:f>B15*C15</x:f>
        <x:v>560</x:v>
      </x:c>
      <x:c r="E15" s="18" t="str">
        <x:v>Carrito PDF</x:v>
      </x:c>
    </x:row>
    <x:row r="16">
      <x:c r="A16" s="18" t="str">
        <x:v>Resistencias 68 kΩ</x:v>
      </x:c>
      <x:c r="B16" s="34" t="n">
        <x:v>80</x:v>
      </x:c>
      <x:c r="C16" s="18" t="n">
        <x:v>7</x:v>
      </x:c>
      <x:c r="D16" s="34" t="n">
        <x:f>B16*C16</x:f>
        <x:v>560</x:v>
      </x:c>
      <x:c r="E16" s="18" t="str">
        <x:v>Carrito PDF</x:v>
      </x:c>
    </x:row>
    <x:row r="17">
      <x:c r="A17" s="18" t="str">
        <x:v>Diodo 1N4004</x:v>
      </x:c>
      <x:c r="B17" s="34" t="n">
        <x:v>300</x:v>
      </x:c>
      <x:c r="C17" s="18" t="n">
        <x:v>23</x:v>
      </x:c>
      <x:c r="D17" s="34" t="n">
        <x:f>B17*C17</x:f>
        <x:v>6900</x:v>
      </x:c>
      <x:c r="E17" s="18" t="str">
        <x:v>Carrito PDF</x:v>
      </x:c>
    </x:row>
    <x:row r="18">
      <x:c r="A18" s="18" t="str">
        <x:v>MOSFET canal N IRFZ44N</x:v>
      </x:c>
      <x:c r="B18" s="34" t="n">
        <x:v>2900</x:v>
      </x:c>
      <x:c r="C18" s="18" t="n">
        <x:v>4</x:v>
      </x:c>
      <x:c r="D18" s="34" t="n">
        <x:f>B18*C18</x:f>
        <x:v>11600</x:v>
      </x:c>
      <x:c r="E18" s="18" t="str">
        <x:v>Carrito PDF</x:v>
      </x:c>
    </x:row>
    <x:row r="19">
      <x:c r="A19" s="18" t="str">
        <x:v>Amplificador operacional LM324</x:v>
      </x:c>
      <x:c r="B19" s="34" t="n">
        <x:v>1000</x:v>
      </x:c>
      <x:c r="C19" s="18" t="n">
        <x:v>9</x:v>
      </x:c>
      <x:c r="D19" s="34" t="n">
        <x:f>B19*C19</x:f>
        <x:v>9000</x:v>
      </x:c>
      <x:c r="E19" s="18" t="str">
        <x:v>Carrito PDF</x:v>
      </x:c>
    </x:row>
    <x:row r="20">
      <x:c r="A20" s="18" t="str">
        <x:v>Chasis acrílico o madera para MVP</x:v>
      </x:c>
      <x:c r="B20" s="34" t="n">
        <x:v>20000</x:v>
      </x:c>
      <x:c r="C20" s="18" t="n">
        <x:v>1</x:v>
      </x:c>
      <x:c r="D20" s="34" t="n">
        <x:f>B20*C20</x:f>
        <x:v>20000</x:v>
      </x:c>
      <x:c r="E20" s="18" t="str">
        <x:v>Estimado agregado</x:v>
      </x:c>
    </x:row>
    <x:row r="21">
      <x:c r="A21" s="18" t="str">
        <x:v>Baquela virgen cobreada para PCB</x:v>
      </x:c>
      <x:c r="B21" s="34" t="n">
        <x:v>15000</x:v>
      </x:c>
      <x:c r="C21" s="18" t="n">
        <x:v>2</x:v>
      </x:c>
      <x:c r="D21" s="34" t="n">
        <x:f>B21*C21</x:f>
        <x:v>30000</x:v>
      </x:c>
      <x:c r="E21" s="18" t="str">
        <x:v>Estimado agregado</x:v>
      </x:c>
    </x:row>
    <x:row r="22">
      <x:c r="A22" s="18" t="str">
        <x:v>Percloruro férrico / químico para revelado PCB</x:v>
      </x:c>
      <x:c r="B22" s="34" t="n">
        <x:v>12000</x:v>
      </x:c>
      <x:c r="C22" s="18" t="n">
        <x:v>1</x:v>
      </x:c>
      <x:c r="D22" s="34" t="n">
        <x:f>B22*C22</x:f>
        <x:v>12000</x:v>
      </x:c>
      <x:c r="E22" s="18" t="str">
        <x:v>Estimado agregado</x:v>
      </x:c>
    </x:row>
    <x:row r="23">
      <x:c r="A23" s="18" t="str">
        <x:v>Estaño para soldadura</x:v>
      </x:c>
      <x:c r="B23" s="34" t="n">
        <x:v>10000</x:v>
      </x:c>
      <x:c r="C23" s="18" t="n">
        <x:v>1</x:v>
      </x:c>
      <x:c r="D23" s="34" t="n">
        <x:f>B23*C23</x:f>
        <x:v>10000</x:v>
      </x:c>
      <x:c r="E23" s="18" t="str">
        <x:v>Estimado agregado</x:v>
      </x:c>
    </x:row>
    <x:row r="24">
      <x:c r="A24" s="18" t="str">
        <x:v>Borneras / terminales para conexión de batería</x:v>
      </x:c>
      <x:c r="B24" s="34" t="n">
        <x:v>1500</x:v>
      </x:c>
      <x:c r="C24" s="18" t="n">
        <x:v>4</x:v>
      </x:c>
      <x:c r="D24" s="34" t="n">
        <x:f>B24*C24</x:f>
        <x:v>6000</x:v>
      </x:c>
      <x:c r="E24" s="18" t="str">
        <x:v>Estimado agregado</x:v>
      </x:c>
    </x:row>
    <x:row r="25">
      <x:c r="A25" s="18" t="str">
        <x:v>Pines header / conectores para PCB</x:v>
      </x:c>
      <x:c r="B25" s="34" t="n">
        <x:v>3000</x:v>
      </x:c>
      <x:c r="C25" s="18" t="n">
        <x:v>1</x:v>
      </x:c>
      <x:c r="D25" s="34" t="n">
        <x:f>B25*C25</x:f>
        <x:v>3000</x:v>
      </x:c>
      <x:c r="E25" s="18" t="str">
        <x:v>Estimado agregado</x:v>
      </x:c>
    </x:row>
    <x:row r="26">
      <x:c r="A26" s="18" t="str">
        <x:v>Tornillos, separadores y soportes para PCB</x:v>
      </x:c>
      <x:c r="B26" s="34" t="n">
        <x:v>8000</x:v>
      </x:c>
      <x:c r="C26" s="18" t="n">
        <x:v>1</x:v>
      </x:c>
      <x:c r="D26" s="34" t="n">
        <x:f>B26*C26</x:f>
        <x:v>8000</x:v>
      </x:c>
      <x:c r="E26" s="18" t="str">
        <x:v>Estimado agregado</x:v>
      </x:c>
    </x:row>
    <x:row r="27">
      <x:c r="A27" s="18" t="str">
        <x:v>Cableado interno para conexiones de potencia y señal</x:v>
      </x:c>
      <x:c r="B27" s="34" t="n">
        <x:v>8000</x:v>
      </x:c>
      <x:c r="C27" s="18" t="n">
        <x:v>1</x:v>
      </x:c>
      <x:c r="D27" s="34" t="n">
        <x:f>B27*C27</x:f>
        <x:v>8000</x:v>
      </x:c>
      <x:c r="E27" s="18" t="str">
        <x:v>Estimado agregado</x:v>
      </x:c>
    </x:row>
    <x:row r="28">
      <x:c r="B28" s="35"/>
      <x:c r="D28" s="35"/>
    </x:row>
    <x:row r="29">
      <x:c r="A29" s="21" t="str">
        <x:v>TOTAL GENERAL</x:v>
      </x:c>
      <x:c r="B29" s="36"/>
      <x:c r="C29" s="21"/>
      <x:c r="D29" s="36" t="n">
        <x:f>SUM(D5:D27)</x:f>
        <x:v>150580</x:v>
      </x:c>
      <x:c r="E29" s="21"/>
    </x:row>
    <x:row r="30">
      <x:c r="B30" s="35"/>
      <x:c r="D30" s="35"/>
    </x:row>
    <x:row r="31">
      <x:c r="A31" s="25" t="str">
        <x:v>TOTAL CARRITO PDF</x:v>
      </x:c>
      <x:c r="B31" s="37"/>
      <x:c r="C31" s="25"/>
      <x:c r="D31" s="37" t="n">
        <x:f>SUMIF(E5:E27,"Carrito PDF",D5:D27)</x:f>
        <x:v>53580</x:v>
      </x:c>
      <x:c r="E31" s="25"/>
    </x:row>
    <x:row r="32">
      <x:c r="A32" s="25" t="str">
        <x:v>TOTAL AGREGADOS</x:v>
      </x:c>
      <x:c r="B32" s="37"/>
      <x:c r="C32" s="25"/>
      <x:c r="D32" s="37" t="n">
        <x:f>SUMIF(E5:E27,"Estimado agregado",D5:D27)</x:f>
        <x:v>97000</x:v>
      </x:c>
      <x:c r="E32" s="25"/>
    </x:row>
    <x:row r="35">
      <x:c r="A35" s="30" t="str">
        <x:v>Nota: Los precios del carrito salen del PDF cargado. Chasis y materiales para PCB son estimados editables.</x:v>
      </x:c>
      <x:c r="B35" s="30"/>
      <x:c r="C35" s="30"/>
      <x:c r="D35" s="30"/>
      <x:c r="E35" s="30"/>
    </x:row>
  </x:sheetData>
  <x:mergeCells>
    <x:mergeCell ref="A1:E1"/>
    <x:mergeCell ref="A2:E2"/>
    <x:mergeCell ref="A29:C29"/>
    <x:mergeCell ref="A31:C31"/>
    <x:mergeCell ref="A32:C32"/>
    <x:mergeCell ref="A35:E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</x:cols>
  <x:sheetData>
    <x:row r="1">
      <x:c r="A1" s="4" t="str">
        <x:v>Resumen de presupuesto BMS</x:v>
      </x:c>
      <x:c r="B1" s="4"/>
    </x:row>
    <x:row r="3">
      <x:c r="A3" s="15" t="str">
        <x:v>Concepto</x:v>
      </x:c>
      <x:c r="B3" s="15" t="str">
        <x:v>Valor</x:v>
      </x:c>
    </x:row>
    <x:row r="4">
      <x:c r="A4" t="str">
        <x:v>Total carrito PDF</x:v>
      </x:c>
      <x:c r="B4" s="35" t="n">
        <x:f>'Presupuesto BMS'!D31</x:f>
        <x:v>53580</x:v>
      </x:c>
    </x:row>
    <x:row r="5">
      <x:c r="A5" t="str">
        <x:v>Total agregados</x:v>
      </x:c>
      <x:c r="B5" s="35" t="n">
        <x:f>'Presupuesto BMS'!D32</x:f>
        <x:v>97000</x:v>
      </x:c>
    </x:row>
    <x:row r="6">
      <x:c r="A6" s="21" t="str">
        <x:v>Total general</x:v>
      </x:c>
      <x:c r="B6" s="36" t="n">
        <x:f>'Presupuesto BMS'!D29</x:f>
        <x:v>150580</x:v>
      </x:c>
    </x:row>
  </x:sheetData>
  <x:mergeCells>
    <x:mergeCell ref="A1:B1"/>
  </x:mergeCells>
  <x:pageMargins left="0.7" right="0.7" top="0.75" bottom="0.75" header="0.3" footer="0.3"/>
</x:worksheet>
</file>